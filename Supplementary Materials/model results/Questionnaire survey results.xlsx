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20675\Desktop\我的\国网论文\0912-Revisions\1014-修改后投稿\1015-Supplementary Materials\model results\"/>
    </mc:Choice>
  </mc:AlternateContent>
  <xr:revisionPtr revIDLastSave="0" documentId="13_ncr:1_{8D330274-0F3C-4D9B-A8B2-A7A65F67DFF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cores_Ro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S2" i="1"/>
  <c r="Q3" i="1"/>
  <c r="S3" i="1"/>
  <c r="T3" i="1" s="1"/>
  <c r="Q4" i="1"/>
  <c r="S4" i="1"/>
  <c r="Q5" i="1"/>
  <c r="S5" i="1"/>
  <c r="T5" i="1" s="1"/>
  <c r="Q6" i="1"/>
  <c r="S6" i="1"/>
  <c r="T6" i="1" s="1"/>
  <c r="Q7" i="1"/>
  <c r="S7" i="1"/>
  <c r="Q8" i="1"/>
  <c r="S8" i="1"/>
  <c r="Q9" i="1"/>
  <c r="S9" i="1"/>
  <c r="T9" i="1"/>
  <c r="Q10" i="1"/>
  <c r="S10" i="1"/>
  <c r="T10" i="1"/>
  <c r="Q11" i="1"/>
  <c r="S11" i="1"/>
  <c r="Q12" i="1"/>
  <c r="S12" i="1"/>
  <c r="Q13" i="1"/>
  <c r="S13" i="1"/>
  <c r="Q14" i="1"/>
  <c r="S14" i="1"/>
  <c r="T14" i="1" s="1"/>
  <c r="Q15" i="1"/>
  <c r="S15" i="1"/>
  <c r="Q16" i="1"/>
  <c r="S16" i="1"/>
  <c r="Q17" i="1"/>
  <c r="S17" i="1"/>
  <c r="Q18" i="1"/>
  <c r="S18" i="1"/>
  <c r="Q19" i="1"/>
  <c r="S19" i="1"/>
  <c r="Q20" i="1"/>
  <c r="S20" i="1"/>
  <c r="T20" i="1" s="1"/>
  <c r="Q21" i="1"/>
  <c r="S21" i="1"/>
  <c r="T12" i="1" l="1"/>
  <c r="T17" i="1"/>
  <c r="T21" i="1"/>
  <c r="T15" i="1"/>
  <c r="T4" i="1"/>
  <c r="T13" i="1"/>
  <c r="T2" i="1"/>
  <c r="T22" i="1" s="1"/>
  <c r="T19" i="1"/>
  <c r="T18" i="1"/>
  <c r="T8" i="1"/>
  <c r="Q22" i="1"/>
  <c r="T7" i="1"/>
  <c r="Q23" i="1"/>
  <c r="T16" i="1"/>
  <c r="T11" i="1"/>
  <c r="R5" i="1" l="1"/>
  <c r="R17" i="1"/>
  <c r="R13" i="1"/>
  <c r="R4" i="1"/>
  <c r="R21" i="1"/>
  <c r="R7" i="1"/>
  <c r="R3" i="1"/>
  <c r="R18" i="1"/>
  <c r="R9" i="1"/>
  <c r="R14" i="1"/>
  <c r="R12" i="1"/>
  <c r="R19" i="1"/>
  <c r="R10" i="1"/>
  <c r="R15" i="1"/>
  <c r="R6" i="1"/>
  <c r="R2" i="1"/>
  <c r="R11" i="1"/>
  <c r="R8" i="1"/>
  <c r="R16" i="1"/>
  <c r="R20" i="1"/>
  <c r="T23" i="1"/>
  <c r="U13" i="1" l="1"/>
  <c r="U10" i="1"/>
  <c r="U16" i="1"/>
  <c r="U18" i="1"/>
  <c r="U14" i="1"/>
  <c r="U4" i="1"/>
  <c r="U6" i="1"/>
  <c r="U17" i="1"/>
  <c r="U12" i="1"/>
  <c r="U3" i="1"/>
  <c r="U21" i="1"/>
  <c r="U20" i="1"/>
  <c r="U9" i="1"/>
  <c r="U2" i="1"/>
  <c r="U15" i="1"/>
  <c r="U19" i="1"/>
  <c r="U11" i="1"/>
  <c r="U8" i="1"/>
  <c r="Y8" i="1" s="1"/>
  <c r="U5" i="1"/>
  <c r="W5" i="1" s="1"/>
  <c r="U7" i="1"/>
  <c r="V5" i="1"/>
  <c r="Y5" i="1"/>
  <c r="X5" i="1" l="1"/>
  <c r="W20" i="1"/>
  <c r="X20" i="1"/>
  <c r="V20" i="1"/>
  <c r="Y20" i="1"/>
  <c r="X4" i="1"/>
  <c r="V4" i="1"/>
  <c r="Y4" i="1"/>
  <c r="W4" i="1"/>
  <c r="Y21" i="1"/>
  <c r="X21" i="1"/>
  <c r="V21" i="1"/>
  <c r="W21" i="1"/>
  <c r="W7" i="1"/>
  <c r="Y7" i="1"/>
  <c r="V7" i="1"/>
  <c r="X7" i="1"/>
  <c r="W8" i="1"/>
  <c r="V18" i="1"/>
  <c r="W18" i="1"/>
  <c r="Y18" i="1"/>
  <c r="X18" i="1"/>
  <c r="X15" i="1"/>
  <c r="V15" i="1"/>
  <c r="W15" i="1"/>
  <c r="Y15" i="1"/>
  <c r="W2" i="1"/>
  <c r="V2" i="1"/>
  <c r="Y2" i="1"/>
  <c r="X2" i="1"/>
  <c r="X3" i="1"/>
  <c r="Y3" i="1"/>
  <c r="W3" i="1"/>
  <c r="V3" i="1"/>
  <c r="V12" i="1"/>
  <c r="X12" i="1"/>
  <c r="Y12" i="1"/>
  <c r="W12" i="1"/>
  <c r="W17" i="1"/>
  <c r="V17" i="1"/>
  <c r="X17" i="1"/>
  <c r="Y17" i="1"/>
  <c r="W6" i="1"/>
  <c r="V6" i="1"/>
  <c r="X6" i="1"/>
  <c r="Y6" i="1"/>
  <c r="Y11" i="1"/>
  <c r="V11" i="1"/>
  <c r="W11" i="1"/>
  <c r="X11" i="1"/>
  <c r="W14" i="1"/>
  <c r="Y14" i="1"/>
  <c r="X14" i="1"/>
  <c r="V14" i="1"/>
  <c r="W19" i="1"/>
  <c r="Y19" i="1"/>
  <c r="V19" i="1"/>
  <c r="X19" i="1"/>
  <c r="X8" i="1"/>
  <c r="W16" i="1"/>
  <c r="V16" i="1"/>
  <c r="Y16" i="1"/>
  <c r="X16" i="1"/>
  <c r="V8" i="1"/>
  <c r="V10" i="1"/>
  <c r="Y10" i="1"/>
  <c r="W10" i="1"/>
  <c r="X10" i="1"/>
  <c r="Y9" i="1"/>
  <c r="V9" i="1"/>
  <c r="X9" i="1"/>
  <c r="W9" i="1"/>
  <c r="X13" i="1"/>
  <c r="Y13" i="1"/>
  <c r="W13" i="1"/>
  <c r="V13" i="1"/>
</calcChain>
</file>

<file path=xl/sharedStrings.xml><?xml version="1.0" encoding="utf-8"?>
<sst xmlns="http://schemas.openxmlformats.org/spreadsheetml/2006/main" count="44" uniqueCount="44">
  <si>
    <t>专家1</t>
  </si>
  <si>
    <t>专家2</t>
  </si>
  <si>
    <t>专家3</t>
  </si>
  <si>
    <t>专家4</t>
  </si>
  <si>
    <t>专家5</t>
  </si>
  <si>
    <t>专家6</t>
  </si>
  <si>
    <t>专家7</t>
  </si>
  <si>
    <t>专家8</t>
  </si>
  <si>
    <t>专家9</t>
  </si>
  <si>
    <t>专家10</t>
  </si>
  <si>
    <t>专家11</t>
  </si>
  <si>
    <t>专家12</t>
  </si>
  <si>
    <t>专家13</t>
  </si>
  <si>
    <t>专家14</t>
  </si>
  <si>
    <t>专家15</t>
  </si>
  <si>
    <t>电压等级（kv）</t>
  </si>
  <si>
    <t>混凝土用量（m³）</t>
  </si>
  <si>
    <t>基础钢材（t）</t>
  </si>
  <si>
    <t>钢塔钢材用量（t）</t>
  </si>
  <si>
    <t>钢材价格（元/t）</t>
  </si>
  <si>
    <t>导线截面面积（mm²）</t>
  </si>
  <si>
    <t>导线架设长度（km）</t>
  </si>
  <si>
    <t>导线单价（元/t）</t>
  </si>
  <si>
    <t>交叉跨越次数（处）</t>
  </si>
  <si>
    <t>灌注桩成孔（m）</t>
  </si>
  <si>
    <t>土方挖方及回填工程量（m³）</t>
  </si>
  <si>
    <t>OPGW架设长度（km）</t>
  </si>
  <si>
    <t>OPGW光缆单价（元/km）</t>
  </si>
  <si>
    <t>场地平整+钢板铺设（m²）</t>
  </si>
  <si>
    <t>杆塔标志牌个数（块）</t>
  </si>
  <si>
    <t>导线耐张串安装（组）</t>
  </si>
  <si>
    <t>地质条件</t>
  </si>
  <si>
    <t>气候特征</t>
  </si>
  <si>
    <t>钢塔间距（m）</t>
  </si>
  <si>
    <t>交叉跨越方法</t>
  </si>
  <si>
    <t>均值</t>
    <phoneticPr fontId="1" type="noConversion"/>
  </si>
  <si>
    <t>标准差</t>
    <phoneticPr fontId="1" type="noConversion"/>
  </si>
  <si>
    <t>变异系数</t>
    <phoneticPr fontId="1" type="noConversion"/>
  </si>
  <si>
    <t>均值归一化</t>
    <phoneticPr fontId="1" type="noConversion"/>
  </si>
  <si>
    <t>反向标准化</t>
    <phoneticPr fontId="1" type="noConversion"/>
  </si>
  <si>
    <r>
      <rPr>
        <sz val="11"/>
        <color theme="1"/>
        <rFont val="Calibri"/>
        <family val="2"/>
        <charset val="161"/>
      </rPr>
      <t>α</t>
    </r>
    <r>
      <rPr>
        <sz val="11"/>
        <color theme="1"/>
        <rFont val="Calibri"/>
        <family val="2"/>
      </rPr>
      <t>=</t>
    </r>
    <r>
      <rPr>
        <sz val="11"/>
        <color theme="1"/>
        <rFont val="宋体"/>
        <family val="2"/>
        <scheme val="minor"/>
      </rPr>
      <t>0.5</t>
    </r>
    <phoneticPr fontId="1" type="noConversion"/>
  </si>
  <si>
    <r>
      <rPr>
        <sz val="11"/>
        <color theme="1"/>
        <rFont val="Calibri"/>
        <family val="2"/>
        <charset val="161"/>
      </rPr>
      <t>α</t>
    </r>
    <r>
      <rPr>
        <sz val="11"/>
        <color theme="1"/>
        <rFont val="Calibri"/>
        <family val="2"/>
      </rPr>
      <t>=</t>
    </r>
    <r>
      <rPr>
        <sz val="11"/>
        <color theme="1"/>
        <rFont val="宋体"/>
        <family val="2"/>
        <scheme val="minor"/>
      </rPr>
      <t>0.6</t>
    </r>
    <phoneticPr fontId="1" type="noConversion"/>
  </si>
  <si>
    <r>
      <rPr>
        <sz val="11"/>
        <rFont val="Calibri"/>
        <family val="3"/>
        <charset val="161"/>
      </rPr>
      <t>α</t>
    </r>
    <r>
      <rPr>
        <sz val="11"/>
        <rFont val="Calibri"/>
        <family val="3"/>
      </rPr>
      <t>=</t>
    </r>
    <r>
      <rPr>
        <sz val="11"/>
        <rFont val="宋体"/>
        <family val="3"/>
        <charset val="134"/>
      </rPr>
      <t>0.7</t>
    </r>
    <phoneticPr fontId="1" type="noConversion"/>
  </si>
  <si>
    <r>
      <rPr>
        <sz val="11"/>
        <color theme="1"/>
        <rFont val="Calibri"/>
        <family val="2"/>
        <charset val="161"/>
      </rPr>
      <t>α</t>
    </r>
    <r>
      <rPr>
        <sz val="11"/>
        <color theme="1"/>
        <rFont val="Calibri"/>
        <family val="2"/>
      </rPr>
      <t>=</t>
    </r>
    <r>
      <rPr>
        <sz val="11"/>
        <color theme="1"/>
        <rFont val="宋体"/>
        <family val="2"/>
        <scheme val="minor"/>
      </rPr>
      <t>0.8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</si>
</sst>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  <font>
      <sz val="11"/>
      <color theme="1"/>
      <name val="Calibri"/>
      <family val="2"/>
    </font>
    <font>
      <sz val="11"/>
      <color theme="1"/>
      <name val="宋体"/>
      <family val="2"/>
      <charset val="161"/>
      <scheme val="minor"/>
    </font>
    <font>
      <sz val="11"/>
      <name val="宋体"/>
      <family val="3"/>
      <charset val="134"/>
    </font>
    <font>
      <sz val="11"/>
      <name val="宋体"/>
      <family val="3"/>
      <charset val="161"/>
    </font>
    <font>
      <sz val="11"/>
      <name val="Calibri"/>
      <family val="3"/>
      <charset val="161"/>
    </font>
    <font>
      <sz val="11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4" fillId="0" borderId="0" xfId="0" applyNumberFormat="1" applyFont="1"/>
    <xf numFmtId="0" fontId="5" fillId="0" borderId="0" xfId="0" applyFont="1" applyAlignment="1">
      <alignment horizontal="center" vertical="top"/>
    </xf>
    <xf numFmtId="176" fontId="0" fillId="0" borderId="0" xfId="0" applyNumberFormat="1"/>
    <xf numFmtId="176" fontId="5" fillId="0" borderId="0" xfId="0" applyNumberFormat="1" applyFont="1" applyAlignment="1">
      <alignment horizontal="center" vertical="top"/>
    </xf>
    <xf numFmtId="176" fontId="6" fillId="0" borderId="0" xfId="0" applyNumberFormat="1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zoomScale="115" zoomScaleNormal="115" workbookViewId="0">
      <selection activeCell="C7" sqref="C7"/>
    </sheetView>
  </sheetViews>
  <sheetFormatPr defaultRowHeight="14.4" x14ac:dyDescent="0.25"/>
  <cols>
    <col min="1" max="1" width="31.109375" bestFit="1" customWidth="1"/>
    <col min="16" max="16" width="8.88671875" customWidth="1"/>
    <col min="17" max="17" width="6.5546875" style="3" bestFit="1" customWidth="1"/>
    <col min="18" max="18" width="11.6640625" style="3" bestFit="1" customWidth="1"/>
    <col min="19" max="20" width="12.77734375" style="3" bestFit="1" customWidth="1"/>
    <col min="21" max="21" width="12.33203125" style="3" bestFit="1" customWidth="1"/>
    <col min="22" max="23" width="6.77734375" style="3" bestFit="1" customWidth="1"/>
    <col min="24" max="24" width="7.33203125" style="3" bestFit="1" customWidth="1"/>
    <col min="25" max="25" width="6.77734375" style="3" bestFit="1" customWidth="1"/>
  </cols>
  <sheetData>
    <row r="1" spans="1:26" ht="15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35</v>
      </c>
      <c r="R1" s="3" t="s">
        <v>38</v>
      </c>
      <c r="S1" s="4" t="s">
        <v>36</v>
      </c>
      <c r="T1" s="4" t="s">
        <v>37</v>
      </c>
      <c r="U1" s="4" t="s">
        <v>39</v>
      </c>
      <c r="V1" s="1" t="s">
        <v>40</v>
      </c>
      <c r="W1" s="1" t="s">
        <v>41</v>
      </c>
      <c r="X1" s="5" t="s">
        <v>42</v>
      </c>
      <c r="Y1" s="1" t="s">
        <v>43</v>
      </c>
      <c r="Z1" s="1"/>
    </row>
    <row r="2" spans="1:26" x14ac:dyDescent="0.25">
      <c r="A2" s="2" t="s">
        <v>15</v>
      </c>
      <c r="B2">
        <v>5</v>
      </c>
      <c r="C2">
        <v>4</v>
      </c>
      <c r="D2">
        <v>5</v>
      </c>
      <c r="E2">
        <v>4</v>
      </c>
      <c r="F2">
        <v>4</v>
      </c>
      <c r="G2">
        <v>4</v>
      </c>
      <c r="H2">
        <v>5</v>
      </c>
      <c r="I2">
        <v>4</v>
      </c>
      <c r="J2">
        <v>5</v>
      </c>
      <c r="K2">
        <v>5</v>
      </c>
      <c r="L2">
        <v>4</v>
      </c>
      <c r="M2">
        <v>5</v>
      </c>
      <c r="N2">
        <v>4</v>
      </c>
      <c r="O2">
        <v>5</v>
      </c>
      <c r="P2">
        <v>5</v>
      </c>
      <c r="Q2" s="3">
        <f>AVERAGE(B2:P2)</f>
        <v>4.5333333333333332</v>
      </c>
      <c r="R2" s="3">
        <f>(Q2-$Q$23)/($Q$22-$Q$23)</f>
        <v>1</v>
      </c>
      <c r="S2" s="3">
        <f t="shared" ref="S2:S21" si="0">_xlfn.STDEV.S(B2:P2)</f>
        <v>0.51639777949432331</v>
      </c>
      <c r="T2" s="3">
        <f>S2/Q2</f>
        <v>0.11391127488845368</v>
      </c>
      <c r="U2" s="3">
        <f>1-(T2-$T$23)/($T$22-$T$23)</f>
        <v>1</v>
      </c>
      <c r="V2" s="3">
        <f t="shared" ref="V2:V21" si="1">0.5*R2+0.5*U2</f>
        <v>1</v>
      </c>
      <c r="W2" s="3">
        <f t="shared" ref="W2:W21" si="2">0.6*R2+0.4*U2</f>
        <v>1</v>
      </c>
      <c r="X2" s="3">
        <f t="shared" ref="X2:X21" si="3">0.7*R2+0.3*U2</f>
        <v>1</v>
      </c>
      <c r="Y2" s="3">
        <f t="shared" ref="Y2:Y21" si="4">0.8*R2+0.2*U2</f>
        <v>1</v>
      </c>
    </row>
    <row r="3" spans="1:26" x14ac:dyDescent="0.25">
      <c r="A3" s="2" t="s">
        <v>16</v>
      </c>
      <c r="B3">
        <v>5</v>
      </c>
      <c r="C3">
        <v>4</v>
      </c>
      <c r="D3">
        <v>4</v>
      </c>
      <c r="E3">
        <v>5</v>
      </c>
      <c r="F3">
        <v>5</v>
      </c>
      <c r="G3">
        <v>4</v>
      </c>
      <c r="H3">
        <v>4</v>
      </c>
      <c r="I3">
        <v>5</v>
      </c>
      <c r="J3">
        <v>5</v>
      </c>
      <c r="K3">
        <v>4</v>
      </c>
      <c r="L3">
        <v>4</v>
      </c>
      <c r="M3">
        <v>3</v>
      </c>
      <c r="N3">
        <v>4</v>
      </c>
      <c r="O3">
        <v>4</v>
      </c>
      <c r="P3">
        <v>5</v>
      </c>
      <c r="Q3" s="3">
        <f t="shared" ref="Q2:Q21" si="5">AVERAGE(B3:P3)</f>
        <v>4.333333333333333</v>
      </c>
      <c r="R3" s="3">
        <f t="shared" ref="R3:R21" si="6">(Q3-$Q$23)/($Q$22-$Q$23)</f>
        <v>0.91176470588235281</v>
      </c>
      <c r="S3" s="3">
        <f t="shared" si="0"/>
        <v>0.61721339984836654</v>
      </c>
      <c r="T3" s="3">
        <f t="shared" ref="T3:T21" si="7">S3/Q3</f>
        <v>0.14243386150346921</v>
      </c>
      <c r="U3" s="3">
        <f t="shared" ref="U3:U21" si="8">1-(T3-$T$23)/($T$22-$T$23)</f>
        <v>0.90634477073190434</v>
      </c>
      <c r="V3" s="3">
        <f t="shared" si="1"/>
        <v>0.90905473830712857</v>
      </c>
      <c r="W3" s="3">
        <f t="shared" si="2"/>
        <v>0.90959673182217349</v>
      </c>
      <c r="X3" s="3">
        <f t="shared" si="3"/>
        <v>0.91013872533721818</v>
      </c>
      <c r="Y3" s="3">
        <f t="shared" si="4"/>
        <v>0.9106807188522632</v>
      </c>
    </row>
    <row r="4" spans="1:26" x14ac:dyDescent="0.25">
      <c r="A4" s="2" t="s">
        <v>17</v>
      </c>
      <c r="B4">
        <v>5</v>
      </c>
      <c r="C4">
        <v>2</v>
      </c>
      <c r="D4">
        <v>4</v>
      </c>
      <c r="E4">
        <v>4</v>
      </c>
      <c r="F4">
        <v>4</v>
      </c>
      <c r="G4">
        <v>5</v>
      </c>
      <c r="H4">
        <v>4</v>
      </c>
      <c r="I4">
        <v>5</v>
      </c>
      <c r="J4">
        <v>4</v>
      </c>
      <c r="K4">
        <v>5</v>
      </c>
      <c r="L4">
        <v>5</v>
      </c>
      <c r="M4">
        <v>4</v>
      </c>
      <c r="N4">
        <v>5</v>
      </c>
      <c r="O4">
        <v>4</v>
      </c>
      <c r="P4">
        <v>4</v>
      </c>
      <c r="Q4" s="3">
        <f t="shared" si="5"/>
        <v>4.2666666666666666</v>
      </c>
      <c r="R4" s="3">
        <f t="shared" si="6"/>
        <v>0.88235294117647056</v>
      </c>
      <c r="S4" s="3">
        <f t="shared" si="0"/>
        <v>0.79880863671798041</v>
      </c>
      <c r="T4" s="3">
        <f t="shared" si="7"/>
        <v>0.18722077423077665</v>
      </c>
      <c r="U4" s="3">
        <f t="shared" si="8"/>
        <v>0.75928487618931095</v>
      </c>
      <c r="V4" s="3">
        <f t="shared" si="1"/>
        <v>0.82081890868289076</v>
      </c>
      <c r="W4" s="3">
        <f t="shared" si="2"/>
        <v>0.83312571518160672</v>
      </c>
      <c r="X4" s="3">
        <f t="shared" si="3"/>
        <v>0.84543252168032257</v>
      </c>
      <c r="Y4" s="3">
        <f t="shared" si="4"/>
        <v>0.85773932817903875</v>
      </c>
    </row>
    <row r="5" spans="1:26" x14ac:dyDescent="0.25">
      <c r="A5" s="2" t="s">
        <v>18</v>
      </c>
      <c r="B5">
        <v>4</v>
      </c>
      <c r="C5">
        <v>4</v>
      </c>
      <c r="D5">
        <v>4</v>
      </c>
      <c r="E5">
        <v>5</v>
      </c>
      <c r="F5">
        <v>3</v>
      </c>
      <c r="G5">
        <v>4</v>
      </c>
      <c r="H5">
        <v>3</v>
      </c>
      <c r="I5">
        <v>5</v>
      </c>
      <c r="J5">
        <v>5</v>
      </c>
      <c r="K5">
        <v>4</v>
      </c>
      <c r="L5">
        <v>5</v>
      </c>
      <c r="M5">
        <v>4</v>
      </c>
      <c r="N5">
        <v>4</v>
      </c>
      <c r="O5">
        <v>4</v>
      </c>
      <c r="P5">
        <v>4</v>
      </c>
      <c r="Q5" s="3">
        <f t="shared" si="5"/>
        <v>4.1333333333333337</v>
      </c>
      <c r="R5" s="3">
        <f t="shared" si="6"/>
        <v>0.82352941176470607</v>
      </c>
      <c r="S5" s="3">
        <f t="shared" si="0"/>
        <v>0.6399404734221853</v>
      </c>
      <c r="T5" s="3">
        <f t="shared" si="7"/>
        <v>0.15482430808601255</v>
      </c>
      <c r="U5" s="3">
        <f t="shared" si="8"/>
        <v>0.86566016764575615</v>
      </c>
      <c r="V5" s="3">
        <f t="shared" si="1"/>
        <v>0.84459478970523105</v>
      </c>
      <c r="W5" s="3">
        <f t="shared" si="2"/>
        <v>0.84038171411712614</v>
      </c>
      <c r="X5" s="3">
        <f t="shared" si="3"/>
        <v>0.83616863852902101</v>
      </c>
      <c r="Y5" s="3">
        <f t="shared" si="4"/>
        <v>0.8319555629409161</v>
      </c>
    </row>
    <row r="6" spans="1:26" x14ac:dyDescent="0.25">
      <c r="A6" s="2" t="s">
        <v>19</v>
      </c>
      <c r="B6">
        <v>5</v>
      </c>
      <c r="C6">
        <v>5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3</v>
      </c>
      <c r="K6">
        <v>4</v>
      </c>
      <c r="L6">
        <v>4</v>
      </c>
      <c r="M6">
        <v>3</v>
      </c>
      <c r="N6">
        <v>4</v>
      </c>
      <c r="O6">
        <v>4</v>
      </c>
      <c r="P6">
        <v>4</v>
      </c>
      <c r="Q6" s="3">
        <f t="shared" si="5"/>
        <v>4</v>
      </c>
      <c r="R6" s="3">
        <f t="shared" si="6"/>
        <v>0.76470588235294124</v>
      </c>
      <c r="S6" s="3">
        <f t="shared" si="0"/>
        <v>0.53452248382484879</v>
      </c>
      <c r="T6" s="3">
        <f t="shared" si="7"/>
        <v>0.1336306209562122</v>
      </c>
      <c r="U6" s="3">
        <f t="shared" si="8"/>
        <v>0.93525061727674452</v>
      </c>
      <c r="V6" s="3">
        <f t="shared" si="1"/>
        <v>0.84997824981484293</v>
      </c>
      <c r="W6" s="3">
        <f t="shared" si="2"/>
        <v>0.83292377632246262</v>
      </c>
      <c r="X6" s="3">
        <f t="shared" si="3"/>
        <v>0.81586930283008208</v>
      </c>
      <c r="Y6" s="3">
        <f t="shared" si="4"/>
        <v>0.79881482933770187</v>
      </c>
    </row>
    <row r="7" spans="1:26" x14ac:dyDescent="0.25">
      <c r="A7" s="2" t="s">
        <v>20</v>
      </c>
      <c r="B7">
        <v>5</v>
      </c>
      <c r="C7">
        <v>4</v>
      </c>
      <c r="D7">
        <v>4</v>
      </c>
      <c r="E7">
        <v>5</v>
      </c>
      <c r="F7">
        <v>4</v>
      </c>
      <c r="G7">
        <v>4</v>
      </c>
      <c r="H7">
        <v>2</v>
      </c>
      <c r="I7">
        <v>4</v>
      </c>
      <c r="J7">
        <v>4</v>
      </c>
      <c r="K7">
        <v>4</v>
      </c>
      <c r="L7">
        <v>4</v>
      </c>
      <c r="M7">
        <v>5</v>
      </c>
      <c r="N7">
        <v>2</v>
      </c>
      <c r="O7">
        <v>4</v>
      </c>
      <c r="P7">
        <v>3</v>
      </c>
      <c r="Q7" s="3">
        <f t="shared" si="5"/>
        <v>3.8666666666666667</v>
      </c>
      <c r="R7" s="3">
        <f t="shared" si="6"/>
        <v>0.70588235294117652</v>
      </c>
      <c r="S7" s="3">
        <f t="shared" si="0"/>
        <v>0.91547541643412633</v>
      </c>
      <c r="T7" s="3">
        <f t="shared" si="7"/>
        <v>0.23676088356054992</v>
      </c>
      <c r="U7" s="3">
        <f t="shared" si="8"/>
        <v>0.59661764127577377</v>
      </c>
      <c r="V7" s="3">
        <f t="shared" si="1"/>
        <v>0.65124999710847509</v>
      </c>
      <c r="W7" s="3">
        <f t="shared" si="2"/>
        <v>0.66217646827501542</v>
      </c>
      <c r="X7" s="3">
        <f t="shared" si="3"/>
        <v>0.67310293944155564</v>
      </c>
      <c r="Y7" s="3">
        <f t="shared" si="4"/>
        <v>0.68402941060809608</v>
      </c>
    </row>
    <row r="8" spans="1:26" x14ac:dyDescent="0.25">
      <c r="A8" s="2" t="s">
        <v>21</v>
      </c>
      <c r="B8">
        <v>4</v>
      </c>
      <c r="C8">
        <v>4</v>
      </c>
      <c r="D8">
        <v>4</v>
      </c>
      <c r="E8">
        <v>4</v>
      </c>
      <c r="F8">
        <v>5</v>
      </c>
      <c r="G8">
        <v>4</v>
      </c>
      <c r="H8">
        <v>4</v>
      </c>
      <c r="I8">
        <v>3</v>
      </c>
      <c r="J8">
        <v>3</v>
      </c>
      <c r="K8">
        <v>2</v>
      </c>
      <c r="L8">
        <v>3</v>
      </c>
      <c r="M8">
        <v>5</v>
      </c>
      <c r="N8">
        <v>4</v>
      </c>
      <c r="O8">
        <v>4</v>
      </c>
      <c r="P8">
        <v>3</v>
      </c>
      <c r="Q8" s="3">
        <f t="shared" si="5"/>
        <v>3.7333333333333334</v>
      </c>
      <c r="R8" s="3">
        <f t="shared" si="6"/>
        <v>0.6470588235294118</v>
      </c>
      <c r="S8" s="3">
        <f t="shared" si="0"/>
        <v>0.79880863671798041</v>
      </c>
      <c r="T8" s="3">
        <f t="shared" si="7"/>
        <v>0.21396659912088761</v>
      </c>
      <c r="U8" s="3">
        <f t="shared" si="8"/>
        <v>0.67146372603005433</v>
      </c>
      <c r="V8" s="3">
        <f t="shared" si="1"/>
        <v>0.65926127477973306</v>
      </c>
      <c r="W8" s="3">
        <f t="shared" si="2"/>
        <v>0.65682078452966874</v>
      </c>
      <c r="X8" s="3">
        <f t="shared" si="3"/>
        <v>0.65438029427960454</v>
      </c>
      <c r="Y8" s="3">
        <f t="shared" si="4"/>
        <v>0.65193980402954033</v>
      </c>
    </row>
    <row r="9" spans="1:26" x14ac:dyDescent="0.25">
      <c r="A9" s="2" t="s">
        <v>22</v>
      </c>
      <c r="B9">
        <v>4</v>
      </c>
      <c r="C9">
        <v>5</v>
      </c>
      <c r="D9">
        <v>4</v>
      </c>
      <c r="E9">
        <v>3</v>
      </c>
      <c r="F9">
        <v>3</v>
      </c>
      <c r="G9">
        <v>4</v>
      </c>
      <c r="H9">
        <v>3</v>
      </c>
      <c r="I9">
        <v>4</v>
      </c>
      <c r="J9">
        <v>4</v>
      </c>
      <c r="K9">
        <v>3</v>
      </c>
      <c r="L9">
        <v>5</v>
      </c>
      <c r="M9">
        <v>2</v>
      </c>
      <c r="N9">
        <v>5</v>
      </c>
      <c r="O9">
        <v>3</v>
      </c>
      <c r="P9">
        <v>3</v>
      </c>
      <c r="Q9" s="3">
        <f t="shared" si="5"/>
        <v>3.6666666666666665</v>
      </c>
      <c r="R9" s="3">
        <f t="shared" si="6"/>
        <v>0.61764705882352944</v>
      </c>
      <c r="S9" s="3">
        <f t="shared" si="0"/>
        <v>0.89973541084243769</v>
      </c>
      <c r="T9" s="3">
        <f t="shared" si="7"/>
        <v>0.24538238477521029</v>
      </c>
      <c r="U9" s="3">
        <f t="shared" si="8"/>
        <v>0.56830854421551258</v>
      </c>
      <c r="V9" s="3">
        <f t="shared" si="1"/>
        <v>0.59297780151952106</v>
      </c>
      <c r="W9" s="3">
        <f t="shared" si="2"/>
        <v>0.59791165298032267</v>
      </c>
      <c r="X9" s="3">
        <f t="shared" si="3"/>
        <v>0.60284550444112439</v>
      </c>
      <c r="Y9" s="3">
        <f t="shared" si="4"/>
        <v>0.60777935590192611</v>
      </c>
    </row>
    <row r="10" spans="1:26" x14ac:dyDescent="0.25">
      <c r="A10" s="2" t="s">
        <v>23</v>
      </c>
      <c r="B10">
        <v>3</v>
      </c>
      <c r="C10">
        <v>2</v>
      </c>
      <c r="D10">
        <v>5</v>
      </c>
      <c r="E10">
        <v>3</v>
      </c>
      <c r="F10">
        <v>4</v>
      </c>
      <c r="G10">
        <v>2</v>
      </c>
      <c r="H10">
        <v>4</v>
      </c>
      <c r="I10">
        <v>3</v>
      </c>
      <c r="J10">
        <v>5</v>
      </c>
      <c r="K10">
        <v>3</v>
      </c>
      <c r="L10">
        <v>4</v>
      </c>
      <c r="M10">
        <v>4</v>
      </c>
      <c r="N10">
        <v>5</v>
      </c>
      <c r="O10">
        <v>4</v>
      </c>
      <c r="P10">
        <v>2</v>
      </c>
      <c r="Q10" s="3">
        <f t="shared" si="5"/>
        <v>3.5333333333333332</v>
      </c>
      <c r="R10" s="3">
        <f t="shared" si="6"/>
        <v>0.55882352941176472</v>
      </c>
      <c r="S10" s="3">
        <f t="shared" si="0"/>
        <v>1.0600988273786189</v>
      </c>
      <c r="T10" s="3">
        <f t="shared" si="7"/>
        <v>0.30002797001281667</v>
      </c>
      <c r="U10" s="3">
        <f t="shared" si="8"/>
        <v>0.38887724357663456</v>
      </c>
      <c r="V10" s="3">
        <f t="shared" si="1"/>
        <v>0.47385038649419964</v>
      </c>
      <c r="W10" s="3">
        <f t="shared" si="2"/>
        <v>0.49084501507771261</v>
      </c>
      <c r="X10" s="3">
        <f t="shared" si="3"/>
        <v>0.50783964366122569</v>
      </c>
      <c r="Y10" s="3">
        <f t="shared" si="4"/>
        <v>0.52483427224473866</v>
      </c>
    </row>
    <row r="11" spans="1:26" x14ac:dyDescent="0.25">
      <c r="A11" s="2" t="s">
        <v>24</v>
      </c>
      <c r="B11">
        <v>3</v>
      </c>
      <c r="C11">
        <v>3</v>
      </c>
      <c r="D11">
        <v>4</v>
      </c>
      <c r="E11">
        <v>3</v>
      </c>
      <c r="F11">
        <v>3</v>
      </c>
      <c r="G11">
        <v>3</v>
      </c>
      <c r="H11">
        <v>4</v>
      </c>
      <c r="I11">
        <v>3</v>
      </c>
      <c r="J11">
        <v>4</v>
      </c>
      <c r="K11">
        <v>4</v>
      </c>
      <c r="L11">
        <v>3</v>
      </c>
      <c r="M11">
        <v>3</v>
      </c>
      <c r="N11">
        <v>4</v>
      </c>
      <c r="O11">
        <v>3</v>
      </c>
      <c r="P11">
        <v>4</v>
      </c>
      <c r="Q11" s="3">
        <f t="shared" si="5"/>
        <v>3.4</v>
      </c>
      <c r="R11" s="3">
        <f t="shared" si="6"/>
        <v>0.5</v>
      </c>
      <c r="S11" s="3">
        <f t="shared" si="0"/>
        <v>0.50709255283710952</v>
      </c>
      <c r="T11" s="3">
        <f t="shared" si="7"/>
        <v>0.1491448684815028</v>
      </c>
      <c r="U11" s="3">
        <f t="shared" si="8"/>
        <v>0.88430886965354127</v>
      </c>
      <c r="V11" s="3">
        <f t="shared" si="1"/>
        <v>0.69215443482677064</v>
      </c>
      <c r="W11" s="3">
        <f t="shared" si="2"/>
        <v>0.65372354786141651</v>
      </c>
      <c r="X11" s="3">
        <f t="shared" si="3"/>
        <v>0.61529266089606227</v>
      </c>
      <c r="Y11" s="3">
        <f t="shared" si="4"/>
        <v>0.57686177393070825</v>
      </c>
    </row>
    <row r="12" spans="1:26" x14ac:dyDescent="0.25">
      <c r="A12" s="2" t="s">
        <v>25</v>
      </c>
      <c r="B12">
        <v>2</v>
      </c>
      <c r="C12">
        <v>4</v>
      </c>
      <c r="D12">
        <v>5</v>
      </c>
      <c r="E12">
        <v>3</v>
      </c>
      <c r="F12">
        <v>5</v>
      </c>
      <c r="G12">
        <v>3</v>
      </c>
      <c r="H12">
        <v>2</v>
      </c>
      <c r="I12">
        <v>3</v>
      </c>
      <c r="J12">
        <v>4</v>
      </c>
      <c r="K12">
        <v>3</v>
      </c>
      <c r="L12">
        <v>3</v>
      </c>
      <c r="M12">
        <v>3</v>
      </c>
      <c r="N12">
        <v>3</v>
      </c>
      <c r="O12">
        <v>4</v>
      </c>
      <c r="P12">
        <v>3</v>
      </c>
      <c r="Q12" s="3">
        <f t="shared" si="5"/>
        <v>3.3333333333333335</v>
      </c>
      <c r="R12" s="3">
        <f t="shared" si="6"/>
        <v>0.47058823529411775</v>
      </c>
      <c r="S12" s="3">
        <f t="shared" si="0"/>
        <v>0.89973541084243769</v>
      </c>
      <c r="T12" s="3">
        <f t="shared" si="7"/>
        <v>0.26992062325273131</v>
      </c>
      <c r="U12" s="3">
        <f t="shared" si="8"/>
        <v>0.48773610590665317</v>
      </c>
      <c r="V12" s="3">
        <f t="shared" si="1"/>
        <v>0.47916217060038546</v>
      </c>
      <c r="W12" s="3">
        <f t="shared" si="2"/>
        <v>0.47744738353913191</v>
      </c>
      <c r="X12" s="3">
        <f t="shared" si="3"/>
        <v>0.47573259647787836</v>
      </c>
      <c r="Y12" s="3">
        <f t="shared" si="4"/>
        <v>0.47401780941662486</v>
      </c>
    </row>
    <row r="13" spans="1:26" x14ac:dyDescent="0.25">
      <c r="A13" s="2" t="s">
        <v>26</v>
      </c>
      <c r="B13">
        <v>4</v>
      </c>
      <c r="C13">
        <v>3</v>
      </c>
      <c r="D13">
        <v>4</v>
      </c>
      <c r="E13">
        <v>4</v>
      </c>
      <c r="F13">
        <v>4</v>
      </c>
      <c r="G13">
        <v>2</v>
      </c>
      <c r="H13">
        <v>2</v>
      </c>
      <c r="I13">
        <v>4</v>
      </c>
      <c r="J13">
        <v>4</v>
      </c>
      <c r="K13">
        <v>3</v>
      </c>
      <c r="L13">
        <v>2</v>
      </c>
      <c r="M13">
        <v>2</v>
      </c>
      <c r="N13">
        <v>3</v>
      </c>
      <c r="O13">
        <v>3</v>
      </c>
      <c r="P13">
        <v>5</v>
      </c>
      <c r="Q13" s="3">
        <f t="shared" si="5"/>
        <v>3.2666666666666666</v>
      </c>
      <c r="R13" s="3">
        <f t="shared" si="6"/>
        <v>0.44117647058823528</v>
      </c>
      <c r="S13" s="3">
        <f t="shared" si="0"/>
        <v>0.96115010472325502</v>
      </c>
      <c r="T13" s="3">
        <f t="shared" si="7"/>
        <v>0.294229623894874</v>
      </c>
      <c r="U13" s="3">
        <f t="shared" si="8"/>
        <v>0.40791638060797974</v>
      </c>
      <c r="V13" s="3">
        <f t="shared" si="1"/>
        <v>0.42454642559810751</v>
      </c>
      <c r="W13" s="3">
        <f t="shared" si="2"/>
        <v>0.42787243459613311</v>
      </c>
      <c r="X13" s="3">
        <f t="shared" si="3"/>
        <v>0.4311984435941586</v>
      </c>
      <c r="Y13" s="3">
        <f t="shared" si="4"/>
        <v>0.4345244525921842</v>
      </c>
    </row>
    <row r="14" spans="1:26" x14ac:dyDescent="0.25">
      <c r="A14" s="2" t="s">
        <v>27</v>
      </c>
      <c r="B14">
        <v>2</v>
      </c>
      <c r="C14">
        <v>3</v>
      </c>
      <c r="D14">
        <v>3</v>
      </c>
      <c r="E14">
        <v>3</v>
      </c>
      <c r="F14">
        <v>3</v>
      </c>
      <c r="G14">
        <v>5</v>
      </c>
      <c r="H14">
        <v>3</v>
      </c>
      <c r="I14">
        <v>4</v>
      </c>
      <c r="J14">
        <v>3</v>
      </c>
      <c r="K14">
        <v>3</v>
      </c>
      <c r="L14">
        <v>4</v>
      </c>
      <c r="M14">
        <v>3</v>
      </c>
      <c r="N14">
        <v>3</v>
      </c>
      <c r="O14">
        <v>3</v>
      </c>
      <c r="P14">
        <v>3</v>
      </c>
      <c r="Q14" s="3">
        <f t="shared" si="5"/>
        <v>3.2</v>
      </c>
      <c r="R14" s="3">
        <f t="shared" si="6"/>
        <v>0.41176470588235303</v>
      </c>
      <c r="S14" s="3">
        <f t="shared" si="0"/>
        <v>0.67612340378281355</v>
      </c>
      <c r="T14" s="3">
        <f t="shared" si="7"/>
        <v>0.21128856368212923</v>
      </c>
      <c r="U14" s="3">
        <f t="shared" si="8"/>
        <v>0.68025717896580473</v>
      </c>
      <c r="V14" s="3">
        <f t="shared" si="1"/>
        <v>0.54601094242407888</v>
      </c>
      <c r="W14" s="3">
        <f t="shared" si="2"/>
        <v>0.51916169511573373</v>
      </c>
      <c r="X14" s="3">
        <f t="shared" si="3"/>
        <v>0.49231244780738848</v>
      </c>
      <c r="Y14" s="3">
        <f t="shared" si="4"/>
        <v>0.46546320049904344</v>
      </c>
    </row>
    <row r="15" spans="1:26" x14ac:dyDescent="0.25">
      <c r="A15" s="2" t="s">
        <v>28</v>
      </c>
      <c r="B15">
        <v>4</v>
      </c>
      <c r="C15">
        <v>4</v>
      </c>
      <c r="D15">
        <v>3</v>
      </c>
      <c r="E15">
        <v>3</v>
      </c>
      <c r="F15">
        <v>4</v>
      </c>
      <c r="G15">
        <v>4</v>
      </c>
      <c r="H15">
        <v>3</v>
      </c>
      <c r="I15">
        <v>4</v>
      </c>
      <c r="J15">
        <v>2</v>
      </c>
      <c r="K15">
        <v>3</v>
      </c>
      <c r="L15">
        <v>3</v>
      </c>
      <c r="M15">
        <v>2</v>
      </c>
      <c r="N15">
        <v>3</v>
      </c>
      <c r="O15">
        <v>3</v>
      </c>
      <c r="P15">
        <v>2</v>
      </c>
      <c r="Q15" s="3">
        <f t="shared" si="5"/>
        <v>3.1333333333333333</v>
      </c>
      <c r="R15" s="3">
        <f t="shared" si="6"/>
        <v>0.38235294117647062</v>
      </c>
      <c r="S15" s="3">
        <f t="shared" si="0"/>
        <v>0.74322335295720587</v>
      </c>
      <c r="T15" s="3">
        <f t="shared" si="7"/>
        <v>0.23719894243315082</v>
      </c>
      <c r="U15" s="3">
        <f t="shared" si="8"/>
        <v>0.5951792547542385</v>
      </c>
      <c r="V15" s="3">
        <f t="shared" si="1"/>
        <v>0.48876609796535453</v>
      </c>
      <c r="W15" s="3">
        <f t="shared" si="2"/>
        <v>0.46748346660757778</v>
      </c>
      <c r="X15" s="3">
        <f t="shared" si="3"/>
        <v>0.44620083524980092</v>
      </c>
      <c r="Y15" s="3">
        <f t="shared" si="4"/>
        <v>0.42491820389202417</v>
      </c>
    </row>
    <row r="16" spans="1:26" x14ac:dyDescent="0.25">
      <c r="A16" s="2" t="s">
        <v>29</v>
      </c>
      <c r="B16">
        <v>5</v>
      </c>
      <c r="C16">
        <v>3</v>
      </c>
      <c r="D16">
        <v>3</v>
      </c>
      <c r="E16">
        <v>2</v>
      </c>
      <c r="F16">
        <v>2</v>
      </c>
      <c r="G16">
        <v>4</v>
      </c>
      <c r="H16">
        <v>3</v>
      </c>
      <c r="I16">
        <v>3</v>
      </c>
      <c r="J16">
        <v>2</v>
      </c>
      <c r="K16">
        <v>3</v>
      </c>
      <c r="L16">
        <v>4</v>
      </c>
      <c r="M16">
        <v>3</v>
      </c>
      <c r="N16">
        <v>3</v>
      </c>
      <c r="O16">
        <v>3</v>
      </c>
      <c r="P16">
        <v>3</v>
      </c>
      <c r="Q16" s="3">
        <f t="shared" si="5"/>
        <v>3.0666666666666669</v>
      </c>
      <c r="R16" s="3">
        <f t="shared" si="6"/>
        <v>0.35294117647058837</v>
      </c>
      <c r="S16" s="3">
        <f t="shared" si="0"/>
        <v>0.79880863671798041</v>
      </c>
      <c r="T16" s="3">
        <f t="shared" si="7"/>
        <v>0.26048107719064578</v>
      </c>
      <c r="U16" s="3">
        <f t="shared" si="8"/>
        <v>0.51873129097047777</v>
      </c>
      <c r="V16" s="3">
        <f t="shared" si="1"/>
        <v>0.43583623372053304</v>
      </c>
      <c r="W16" s="3">
        <f t="shared" si="2"/>
        <v>0.41925722227054413</v>
      </c>
      <c r="X16" s="3">
        <f t="shared" si="3"/>
        <v>0.40267821082055516</v>
      </c>
      <c r="Y16" s="3">
        <f t="shared" si="4"/>
        <v>0.38609919937056625</v>
      </c>
    </row>
    <row r="17" spans="1:25" x14ac:dyDescent="0.25">
      <c r="A17" s="2" t="s">
        <v>30</v>
      </c>
      <c r="B17">
        <v>2</v>
      </c>
      <c r="C17">
        <v>4</v>
      </c>
      <c r="D17">
        <v>4</v>
      </c>
      <c r="E17">
        <v>4</v>
      </c>
      <c r="F17">
        <v>3</v>
      </c>
      <c r="G17">
        <v>3</v>
      </c>
      <c r="H17">
        <v>3</v>
      </c>
      <c r="I17">
        <v>3</v>
      </c>
      <c r="J17">
        <v>4</v>
      </c>
      <c r="K17">
        <v>2</v>
      </c>
      <c r="L17">
        <v>3</v>
      </c>
      <c r="M17">
        <v>3</v>
      </c>
      <c r="N17">
        <v>2</v>
      </c>
      <c r="O17">
        <v>2</v>
      </c>
      <c r="P17">
        <v>4</v>
      </c>
      <c r="Q17" s="3">
        <f t="shared" si="5"/>
        <v>3.0666666666666669</v>
      </c>
      <c r="R17" s="3">
        <f t="shared" si="6"/>
        <v>0.35294117647058837</v>
      </c>
      <c r="S17" s="3">
        <f t="shared" si="0"/>
        <v>0.79880863671798041</v>
      </c>
      <c r="T17" s="3">
        <f t="shared" si="7"/>
        <v>0.26048107719064578</v>
      </c>
      <c r="U17" s="3">
        <f t="shared" si="8"/>
        <v>0.51873129097047777</v>
      </c>
      <c r="V17" s="3">
        <f t="shared" si="1"/>
        <v>0.43583623372053304</v>
      </c>
      <c r="W17" s="3">
        <f t="shared" si="2"/>
        <v>0.41925722227054413</v>
      </c>
      <c r="X17" s="3">
        <f t="shared" si="3"/>
        <v>0.40267821082055516</v>
      </c>
      <c r="Y17" s="3">
        <f t="shared" si="4"/>
        <v>0.38609919937056625</v>
      </c>
    </row>
    <row r="18" spans="1:25" x14ac:dyDescent="0.25">
      <c r="A18" s="2" t="s">
        <v>31</v>
      </c>
      <c r="B18">
        <v>2</v>
      </c>
      <c r="C18">
        <v>3</v>
      </c>
      <c r="D18">
        <v>2</v>
      </c>
      <c r="E18">
        <v>3</v>
      </c>
      <c r="F18">
        <v>4</v>
      </c>
      <c r="G18">
        <v>3</v>
      </c>
      <c r="H18">
        <v>2</v>
      </c>
      <c r="I18">
        <v>2</v>
      </c>
      <c r="J18">
        <v>3</v>
      </c>
      <c r="K18">
        <v>1</v>
      </c>
      <c r="L18">
        <v>3</v>
      </c>
      <c r="M18">
        <v>3</v>
      </c>
      <c r="N18">
        <v>2</v>
      </c>
      <c r="O18">
        <v>2</v>
      </c>
      <c r="P18">
        <v>3</v>
      </c>
      <c r="Q18" s="3">
        <f t="shared" si="5"/>
        <v>2.5333333333333332</v>
      </c>
      <c r="R18" s="3">
        <f t="shared" si="6"/>
        <v>0.11764705882352938</v>
      </c>
      <c r="S18" s="3">
        <f t="shared" si="0"/>
        <v>0.74322335295720654</v>
      </c>
      <c r="T18" s="3">
        <f t="shared" si="7"/>
        <v>0.2933776393252131</v>
      </c>
      <c r="U18" s="3">
        <f t="shared" si="8"/>
        <v>0.41071391125558465</v>
      </c>
      <c r="V18" s="3">
        <f t="shared" si="1"/>
        <v>0.26418048503955704</v>
      </c>
      <c r="W18" s="3">
        <f t="shared" si="2"/>
        <v>0.23487379979635148</v>
      </c>
      <c r="X18" s="3">
        <f t="shared" si="3"/>
        <v>0.20556711455314597</v>
      </c>
      <c r="Y18" s="3">
        <f t="shared" si="4"/>
        <v>0.17626042930994046</v>
      </c>
    </row>
    <row r="19" spans="1:25" x14ac:dyDescent="0.25">
      <c r="A19" s="2" t="s">
        <v>32</v>
      </c>
      <c r="B19">
        <v>2</v>
      </c>
      <c r="C19">
        <v>3</v>
      </c>
      <c r="D19">
        <v>2</v>
      </c>
      <c r="E19">
        <v>3</v>
      </c>
      <c r="F19">
        <v>3</v>
      </c>
      <c r="G19">
        <v>3</v>
      </c>
      <c r="H19">
        <v>3</v>
      </c>
      <c r="I19">
        <v>1</v>
      </c>
      <c r="J19">
        <v>3</v>
      </c>
      <c r="K19">
        <v>3</v>
      </c>
      <c r="L19">
        <v>2</v>
      </c>
      <c r="M19">
        <v>2</v>
      </c>
      <c r="N19">
        <v>2</v>
      </c>
      <c r="O19">
        <v>1</v>
      </c>
      <c r="P19">
        <v>3</v>
      </c>
      <c r="Q19" s="3">
        <f t="shared" si="5"/>
        <v>2.4</v>
      </c>
      <c r="R19" s="3">
        <f t="shared" si="6"/>
        <v>5.8823529411764691E-2</v>
      </c>
      <c r="S19" s="3">
        <f t="shared" si="0"/>
        <v>0.73678839761300696</v>
      </c>
      <c r="T19" s="3">
        <f t="shared" si="7"/>
        <v>0.30699516567208623</v>
      </c>
      <c r="U19" s="3">
        <f t="shared" si="8"/>
        <v>0.36600013514211904</v>
      </c>
      <c r="V19" s="3">
        <f t="shared" si="1"/>
        <v>0.21241183227694188</v>
      </c>
      <c r="W19" s="3">
        <f t="shared" si="2"/>
        <v>0.18169417170390642</v>
      </c>
      <c r="X19" s="3">
        <f t="shared" si="3"/>
        <v>0.15097651113087099</v>
      </c>
      <c r="Y19" s="3">
        <f t="shared" si="4"/>
        <v>0.12025885055783556</v>
      </c>
    </row>
    <row r="20" spans="1:25" x14ac:dyDescent="0.25">
      <c r="A20" s="2" t="s">
        <v>33</v>
      </c>
      <c r="B20">
        <v>2</v>
      </c>
      <c r="C20">
        <v>3</v>
      </c>
      <c r="D20">
        <v>2</v>
      </c>
      <c r="E20">
        <v>2</v>
      </c>
      <c r="F20">
        <v>2</v>
      </c>
      <c r="G20">
        <v>2</v>
      </c>
      <c r="H20">
        <v>1</v>
      </c>
      <c r="I20">
        <v>1</v>
      </c>
      <c r="J20">
        <v>3</v>
      </c>
      <c r="K20">
        <v>5</v>
      </c>
      <c r="L20">
        <v>3</v>
      </c>
      <c r="M20">
        <v>3</v>
      </c>
      <c r="N20">
        <v>2</v>
      </c>
      <c r="O20">
        <v>3</v>
      </c>
      <c r="P20">
        <v>4</v>
      </c>
      <c r="Q20" s="3">
        <f t="shared" si="5"/>
        <v>2.5333333333333332</v>
      </c>
      <c r="R20" s="3">
        <f t="shared" si="6"/>
        <v>0.11764705882352938</v>
      </c>
      <c r="S20" s="3">
        <f t="shared" si="0"/>
        <v>1.0600988273786194</v>
      </c>
      <c r="T20" s="3">
        <f t="shared" si="7"/>
        <v>0.41846006343892872</v>
      </c>
      <c r="U20" s="3">
        <f t="shared" si="8"/>
        <v>0</v>
      </c>
      <c r="V20" s="3">
        <f t="shared" si="1"/>
        <v>5.8823529411764691E-2</v>
      </c>
      <c r="W20" s="3">
        <f t="shared" si="2"/>
        <v>7.0588235294117632E-2</v>
      </c>
      <c r="X20" s="3">
        <f t="shared" si="3"/>
        <v>8.2352941176470559E-2</v>
      </c>
      <c r="Y20" s="3">
        <f t="shared" si="4"/>
        <v>9.4117647058823514E-2</v>
      </c>
    </row>
    <row r="21" spans="1:25" x14ac:dyDescent="0.25">
      <c r="A21" s="2" t="s">
        <v>34</v>
      </c>
      <c r="B21">
        <v>2</v>
      </c>
      <c r="C21">
        <v>3</v>
      </c>
      <c r="D21">
        <v>3</v>
      </c>
      <c r="E21">
        <v>3</v>
      </c>
      <c r="F21">
        <v>3</v>
      </c>
      <c r="G21">
        <v>1</v>
      </c>
      <c r="H21">
        <v>2</v>
      </c>
      <c r="I21">
        <v>2</v>
      </c>
      <c r="J21">
        <v>3</v>
      </c>
      <c r="K21">
        <v>3</v>
      </c>
      <c r="L21">
        <v>1</v>
      </c>
      <c r="M21">
        <v>1</v>
      </c>
      <c r="N21">
        <v>2</v>
      </c>
      <c r="O21">
        <v>3</v>
      </c>
      <c r="P21">
        <v>2</v>
      </c>
      <c r="Q21" s="3">
        <f t="shared" si="5"/>
        <v>2.2666666666666666</v>
      </c>
      <c r="R21" s="3">
        <f t="shared" si="6"/>
        <v>0</v>
      </c>
      <c r="S21" s="3">
        <f t="shared" si="0"/>
        <v>0.79880863671798041</v>
      </c>
      <c r="T21" s="3">
        <f t="shared" si="7"/>
        <v>0.35241557502263843</v>
      </c>
      <c r="U21" s="3">
        <f t="shared" si="8"/>
        <v>0.21686012520566733</v>
      </c>
      <c r="V21" s="3">
        <f t="shared" si="1"/>
        <v>0.10843006260283367</v>
      </c>
      <c r="W21" s="3">
        <f t="shared" si="2"/>
        <v>8.6744050082266932E-2</v>
      </c>
      <c r="X21" s="3">
        <f t="shared" si="3"/>
        <v>6.5058037561700199E-2</v>
      </c>
      <c r="Y21" s="3">
        <f t="shared" si="4"/>
        <v>4.3372025041133466E-2</v>
      </c>
    </row>
    <row r="22" spans="1:25" x14ac:dyDescent="0.25">
      <c r="Q22" s="3">
        <f>MAX(Q2:Q21)</f>
        <v>4.5333333333333332</v>
      </c>
      <c r="T22" s="3">
        <f>MAX(T2:T21)</f>
        <v>0.41846006343892872</v>
      </c>
    </row>
    <row r="23" spans="1:25" x14ac:dyDescent="0.25">
      <c r="Q23" s="3">
        <f>MIN(Q2:Q21)</f>
        <v>2.2666666666666666</v>
      </c>
      <c r="T23" s="3">
        <f>MIN(T2:T21)</f>
        <v>0.11391127488845368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Scores_Rows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 Z</cp:lastModifiedBy>
  <dcterms:created xsi:type="dcterms:W3CDTF">2025-11-23T02:17:49Z</dcterms:created>
  <dcterms:modified xsi:type="dcterms:W3CDTF">2026-10-15T02:03:15Z</dcterms:modified>
</cp:coreProperties>
</file>